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SABA\Documents\"/>
    </mc:Choice>
  </mc:AlternateContent>
  <xr:revisionPtr revIDLastSave="0" documentId="13_ncr:1_{52B77C4B-CC6A-4BFB-8F04-396838DB328B}" xr6:coauthVersionLast="47" xr6:coauthVersionMax="47" xr10:uidLastSave="{00000000-0000-0000-0000-000000000000}"/>
  <bookViews>
    <workbookView xWindow="-108" yWindow="-108" windowWidth="23256" windowHeight="12456" xr2:uid="{0338CC19-3A19-40FF-A5FE-8EA25FD1E8B1}"/>
  </bookViews>
  <sheets>
    <sheet name="Sheet1" sheetId="1" r:id="rId1"/>
    <sheet name="Sheet2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19" i="1" l="1"/>
  <c r="R21" i="1" s="1"/>
  <c r="R17" i="1"/>
  <c r="R15" i="1"/>
  <c r="R14" i="1"/>
  <c r="R12" i="1"/>
  <c r="R11" i="1"/>
</calcChain>
</file>

<file path=xl/sharedStrings.xml><?xml version="1.0" encoding="utf-8"?>
<sst xmlns="http://schemas.openxmlformats.org/spreadsheetml/2006/main" count="56" uniqueCount="45">
  <si>
    <t>O n l i n e   s t o r e</t>
  </si>
  <si>
    <t>Quantity</t>
  </si>
  <si>
    <t>5% discount</t>
  </si>
  <si>
    <t>Promo code</t>
  </si>
  <si>
    <t>CASH OUT</t>
  </si>
  <si>
    <t>Price</t>
  </si>
  <si>
    <t>chips-charletos</t>
  </si>
  <si>
    <t>chips-FOX</t>
  </si>
  <si>
    <t>chips-بيج</t>
  </si>
  <si>
    <t>biscuit-biscreem</t>
  </si>
  <si>
    <t>biscuit-lambada</t>
  </si>
  <si>
    <t>Fast food</t>
  </si>
  <si>
    <t>Drinks</t>
  </si>
  <si>
    <t>Donuts-chocolate</t>
  </si>
  <si>
    <t>Donuts-whitecream</t>
  </si>
  <si>
    <t>Domtie-corousone</t>
  </si>
  <si>
    <t>Domtie-sandwich</t>
  </si>
  <si>
    <t>Molto-chocolate</t>
  </si>
  <si>
    <t>Cold-SpiroSpates</t>
  </si>
  <si>
    <t>Cold-DoubleDare</t>
  </si>
  <si>
    <t>Cold-SinaCola</t>
  </si>
  <si>
    <t>Cold-oero</t>
  </si>
  <si>
    <t>Cold-Mango</t>
  </si>
  <si>
    <t>Cold-icecreem</t>
  </si>
  <si>
    <t>Cold-A7</t>
  </si>
  <si>
    <t>Hot-Dark tea</t>
  </si>
  <si>
    <t>Hot-Vanilia tea</t>
  </si>
  <si>
    <t>Hot-trukish coffee</t>
  </si>
  <si>
    <t>Hot-espresso</t>
  </si>
  <si>
    <t>Hot-latte</t>
  </si>
  <si>
    <t>Hot-nescafee</t>
  </si>
  <si>
    <t>Hot-French Coffee</t>
  </si>
  <si>
    <t>Controles</t>
  </si>
  <si>
    <t>promo check</t>
  </si>
  <si>
    <t>promo code</t>
  </si>
  <si>
    <t>Promo codes</t>
  </si>
  <si>
    <t>loai30</t>
  </si>
  <si>
    <t>wael20</t>
  </si>
  <si>
    <t>hassan60</t>
  </si>
  <si>
    <t>Shipping fee</t>
  </si>
  <si>
    <t>promo</t>
  </si>
  <si>
    <t>0.5% discount on shipping fee</t>
  </si>
  <si>
    <t>pay method</t>
  </si>
  <si>
    <t>TOTAL</t>
  </si>
  <si>
    <t>lina10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</si>
</sst>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_([$$-409]* #,##0.00_);_([$$-409]* \(#,##0.00\);_([$$-409]* &quot;-&quot;??_);_(@_)"/>
    <numFmt numFmtId="165" formatCode="0.0%"/>
  </numFmts>
  <fonts count="13" x14ac:knownFonts="1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1"/>
      <color theme="0"/>
      <name val="Arial"/>
      <family val="2"/>
      <scheme val="minor"/>
    </font>
    <font>
      <b/>
      <sz val="11"/>
      <color theme="1"/>
      <name val="Arial"/>
      <family val="2"/>
      <scheme val="minor"/>
    </font>
    <font>
      <sz val="20"/>
      <color theme="1"/>
      <name val="Arial"/>
      <family val="2"/>
      <scheme val="minor"/>
    </font>
    <font>
      <sz val="26"/>
      <color theme="1"/>
      <name val="Corbel"/>
      <family val="2"/>
    </font>
    <font>
      <b/>
      <sz val="26"/>
      <color theme="1"/>
      <name val="Corbel"/>
      <family val="2"/>
    </font>
    <font>
      <sz val="26"/>
      <color theme="1"/>
      <name val="Bahnschrift SemiLight SemiConde"/>
      <family val="2"/>
    </font>
    <font>
      <sz val="11"/>
      <color theme="1"/>
      <name val="Corbel"/>
      <family val="2"/>
    </font>
    <font>
      <b/>
      <sz val="12"/>
      <color theme="1"/>
      <name val="Corbel"/>
      <family val="2"/>
    </font>
    <font>
      <sz val="28"/>
      <color theme="7"/>
      <name val="Arial Black"/>
      <family val="2"/>
    </font>
    <font>
      <sz val="11"/>
      <color theme="1"/>
      <name val="Berlin Sans FB"/>
      <family val="2"/>
    </font>
    <font>
      <sz val="8"/>
      <color rgb="FF000000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</fills>
  <borders count="13">
    <border>
      <left/>
      <right/>
      <top/>
      <bottom/>
      <diagonal/>
    </border>
    <border>
      <left style="thin">
        <color theme="7" tint="-0.249977111117893"/>
      </left>
      <right style="thin">
        <color theme="7" tint="-0.249977111117893"/>
      </right>
      <top style="thin">
        <color theme="7" tint="-0.249977111117893"/>
      </top>
      <bottom style="thin">
        <color theme="7" tint="-0.249977111117893"/>
      </bottom>
      <diagonal/>
    </border>
    <border>
      <left style="thin">
        <color theme="7" tint="-0.249977111117893"/>
      </left>
      <right/>
      <top style="thin">
        <color theme="7" tint="-0.249977111117893"/>
      </top>
      <bottom/>
      <diagonal/>
    </border>
    <border>
      <left/>
      <right/>
      <top style="thin">
        <color theme="7" tint="-0.249977111117893"/>
      </top>
      <bottom/>
      <diagonal/>
    </border>
    <border>
      <left/>
      <right style="thin">
        <color theme="7" tint="-0.249977111117893"/>
      </right>
      <top style="thin">
        <color theme="7" tint="-0.249977111117893"/>
      </top>
      <bottom/>
      <diagonal/>
    </border>
    <border>
      <left style="thin">
        <color theme="7" tint="-0.249977111117893"/>
      </left>
      <right/>
      <top/>
      <bottom/>
      <diagonal/>
    </border>
    <border>
      <left/>
      <right style="thin">
        <color theme="7" tint="-0.249977111117893"/>
      </right>
      <top/>
      <bottom/>
      <diagonal/>
    </border>
    <border>
      <left style="thin">
        <color theme="7" tint="-0.249977111117893"/>
      </left>
      <right/>
      <top/>
      <bottom style="thin">
        <color theme="7" tint="-0.249977111117893"/>
      </bottom>
      <diagonal/>
    </border>
    <border>
      <left/>
      <right/>
      <top/>
      <bottom style="thin">
        <color theme="7" tint="-0.249977111117893"/>
      </bottom>
      <diagonal/>
    </border>
    <border>
      <left/>
      <right style="thin">
        <color theme="7" tint="-0.249977111117893"/>
      </right>
      <top/>
      <bottom style="thin">
        <color theme="7" tint="-0.249977111117893"/>
      </bottom>
      <diagonal/>
    </border>
    <border>
      <left style="thin">
        <color theme="7" tint="-0.249977111117893"/>
      </left>
      <right/>
      <top style="thin">
        <color theme="7" tint="-0.249977111117893"/>
      </top>
      <bottom style="thin">
        <color theme="7" tint="-0.249977111117893"/>
      </bottom>
      <diagonal/>
    </border>
    <border>
      <left/>
      <right/>
      <top style="thin">
        <color theme="7" tint="-0.249977111117893"/>
      </top>
      <bottom style="thin">
        <color theme="7" tint="-0.249977111117893"/>
      </bottom>
      <diagonal/>
    </border>
    <border>
      <left/>
      <right style="thin">
        <color theme="7" tint="-0.249977111117893"/>
      </right>
      <top style="thin">
        <color theme="7" tint="-0.249977111117893"/>
      </top>
      <bottom style="thin">
        <color theme="7" tint="-0.249977111117893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right"/>
    </xf>
    <xf numFmtId="0" fontId="0" fillId="3" borderId="5" xfId="0" applyFill="1" applyBorder="1"/>
    <xf numFmtId="0" fontId="0" fillId="3" borderId="0" xfId="0" applyFill="1"/>
    <xf numFmtId="0" fontId="0" fillId="3" borderId="6" xfId="0" applyFill="1" applyBorder="1"/>
    <xf numFmtId="0" fontId="0" fillId="3" borderId="7" xfId="0" applyFill="1" applyBorder="1"/>
    <xf numFmtId="0" fontId="0" fillId="3" borderId="9" xfId="0" applyFill="1" applyBorder="1"/>
    <xf numFmtId="0" fontId="0" fillId="3" borderId="2" xfId="0" applyFill="1" applyBorder="1"/>
    <xf numFmtId="0" fontId="0" fillId="3" borderId="4" xfId="0" applyFill="1" applyBorder="1"/>
    <xf numFmtId="44" fontId="0" fillId="0" borderId="0" xfId="1" applyFont="1"/>
    <xf numFmtId="0" fontId="0" fillId="3" borderId="5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8" fillId="3" borderId="0" xfId="0" applyFont="1" applyFill="1" applyAlignment="1">
      <alignment horizontal="right" vertical="center"/>
    </xf>
    <xf numFmtId="0" fontId="8" fillId="3" borderId="0" xfId="0" applyFont="1" applyFill="1" applyAlignment="1">
      <alignment horizontal="right"/>
    </xf>
    <xf numFmtId="0" fontId="8" fillId="0" borderId="0" xfId="0" applyFont="1"/>
    <xf numFmtId="0" fontId="11" fillId="3" borderId="11" xfId="0" applyFont="1" applyFill="1" applyBorder="1" applyAlignment="1">
      <alignment vertical="center"/>
    </xf>
    <xf numFmtId="0" fontId="11" fillId="3" borderId="12" xfId="0" applyFont="1" applyFill="1" applyBorder="1" applyAlignment="1">
      <alignment vertical="center"/>
    </xf>
    <xf numFmtId="0" fontId="11" fillId="3" borderId="1" xfId="0" applyFont="1" applyFill="1" applyBorder="1" applyAlignment="1">
      <alignment vertical="center"/>
    </xf>
    <xf numFmtId="0" fontId="11" fillId="3" borderId="11" xfId="0" applyFont="1" applyFill="1" applyBorder="1"/>
    <xf numFmtId="0" fontId="11" fillId="3" borderId="12" xfId="0" applyFont="1" applyFill="1" applyBorder="1"/>
    <xf numFmtId="0" fontId="11" fillId="3" borderId="1" xfId="0" applyFont="1" applyFill="1" applyBorder="1"/>
    <xf numFmtId="0" fontId="11" fillId="3" borderId="0" xfId="0" applyFont="1" applyFill="1"/>
    <xf numFmtId="0" fontId="11" fillId="3" borderId="5" xfId="0" applyFont="1" applyFill="1" applyBorder="1"/>
    <xf numFmtId="0" fontId="11" fillId="3" borderId="3" xfId="0" applyFont="1" applyFill="1" applyBorder="1"/>
    <xf numFmtId="0" fontId="0" fillId="3" borderId="8" xfId="0" applyFill="1" applyBorder="1"/>
    <xf numFmtId="0" fontId="11" fillId="3" borderId="4" xfId="0" applyFont="1" applyFill="1" applyBorder="1"/>
    <xf numFmtId="0" fontId="11" fillId="3" borderId="2" xfId="0" applyFont="1" applyFill="1" applyBorder="1"/>
    <xf numFmtId="0" fontId="6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165" fontId="0" fillId="3" borderId="5" xfId="2" applyNumberFormat="1" applyFont="1" applyFill="1" applyBorder="1" applyAlignment="1">
      <alignment horizontal="center"/>
    </xf>
    <xf numFmtId="165" fontId="0" fillId="3" borderId="6" xfId="2" applyNumberFormat="1" applyFont="1" applyFill="1" applyBorder="1" applyAlignment="1">
      <alignment horizontal="center"/>
    </xf>
    <xf numFmtId="44" fontId="4" fillId="2" borderId="2" xfId="1" applyFont="1" applyFill="1" applyBorder="1" applyAlignment="1">
      <alignment horizontal="center" vertical="center"/>
    </xf>
    <xf numFmtId="44" fontId="4" fillId="2" borderId="4" xfId="1" applyFont="1" applyFill="1" applyBorder="1" applyAlignment="1">
      <alignment horizontal="center" vertical="center"/>
    </xf>
    <xf numFmtId="44" fontId="4" fillId="2" borderId="5" xfId="1" applyFont="1" applyFill="1" applyBorder="1" applyAlignment="1">
      <alignment horizontal="center" vertical="center"/>
    </xf>
    <xf numFmtId="44" fontId="4" fillId="2" borderId="6" xfId="1" applyFont="1" applyFill="1" applyBorder="1" applyAlignment="1">
      <alignment horizontal="center" vertical="center"/>
    </xf>
    <xf numFmtId="44" fontId="4" fillId="2" borderId="7" xfId="1" applyFont="1" applyFill="1" applyBorder="1" applyAlignment="1">
      <alignment horizontal="center" vertical="center"/>
    </xf>
    <xf numFmtId="44" fontId="4" fillId="2" borderId="9" xfId="1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0" fontId="10" fillId="3" borderId="3" xfId="0" applyFont="1" applyFill="1" applyBorder="1" applyAlignment="1">
      <alignment horizontal="center" vertical="center"/>
    </xf>
    <xf numFmtId="0" fontId="10" fillId="3" borderId="5" xfId="0" applyFont="1" applyFill="1" applyBorder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0" fontId="10" fillId="3" borderId="8" xfId="0" applyFont="1" applyFill="1" applyBorder="1" applyAlignment="1">
      <alignment horizontal="center" vertical="center"/>
    </xf>
    <xf numFmtId="164" fontId="0" fillId="3" borderId="10" xfId="1" applyNumberFormat="1" applyFont="1" applyFill="1" applyBorder="1" applyAlignment="1">
      <alignment horizontal="center"/>
    </xf>
    <xf numFmtId="164" fontId="0" fillId="3" borderId="12" xfId="1" applyNumberFormat="1" applyFont="1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44" fontId="0" fillId="3" borderId="10" xfId="1" applyFont="1" applyFill="1" applyBorder="1" applyAlignment="1">
      <alignment horizontal="center"/>
    </xf>
    <xf numFmtId="44" fontId="0" fillId="3" borderId="12" xfId="1" applyFont="1" applyFill="1" applyBorder="1" applyAlignment="1">
      <alignment horizontal="center"/>
    </xf>
    <xf numFmtId="44" fontId="1" fillId="3" borderId="10" xfId="1" applyFont="1" applyFill="1" applyBorder="1" applyAlignment="1">
      <alignment horizontal="center"/>
    </xf>
    <xf numFmtId="44" fontId="1" fillId="3" borderId="12" xfId="1" applyFont="1" applyFill="1" applyBorder="1" applyAlignment="1">
      <alignment horizontal="center"/>
    </xf>
    <xf numFmtId="0" fontId="11" fillId="3" borderId="10" xfId="0" applyFont="1" applyFill="1" applyBorder="1" applyAlignment="1">
      <alignment horizontal="left"/>
    </xf>
    <xf numFmtId="0" fontId="11" fillId="3" borderId="12" xfId="0" applyFont="1" applyFill="1" applyBorder="1" applyAlignment="1">
      <alignment horizontal="left"/>
    </xf>
    <xf numFmtId="0" fontId="2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r:id="rId1"/>
</file>

<file path=xl/ctrlProps/ctrlProp1.xml><?xml version="1.0" encoding="utf-8"?>
<formControlPr xmlns="http://schemas.microsoft.com/office/spreadsheetml/2009/9/main" objectType="Drop" dropStyle="combo" dx="26" fmlaLink="Sheet2!$F$3" fmlaRange="Sheet2!$A$3:$A$12" noThreeD="1" sel="6" val="2"/>
</file>

<file path=xl/ctrlProps/ctrlProp2.xml><?xml version="1.0" encoding="utf-8"?>
<formControlPr xmlns="http://schemas.microsoft.com/office/spreadsheetml/2009/9/main" objectType="Spin" dx="26" fmlaLink="$G$9" max="10" min="1" page="10" val="5"/>
</file>

<file path=xl/ctrlProps/ctrlProp3.xml><?xml version="1.0" encoding="utf-8"?>
<formControlPr xmlns="http://schemas.microsoft.com/office/spreadsheetml/2009/9/main" objectType="Drop" dropStyle="combo" dx="26" fmlaLink="Sheet2!$F$4" fmlaRange="Sheet2!$A$16:$A$29" noThreeD="1" sel="11" val="6"/>
</file>

<file path=xl/ctrlProps/ctrlProp4.xml><?xml version="1.0" encoding="utf-8"?>
<formControlPr xmlns="http://schemas.microsoft.com/office/spreadsheetml/2009/9/main" objectType="Spin" dx="26" fmlaLink="$G$14" max="10" min="1" page="10" val="3"/>
</file>

<file path=xl/ctrlProps/ctrlProp5.xml><?xml version="1.0" encoding="utf-8"?>
<formControlPr xmlns="http://schemas.microsoft.com/office/spreadsheetml/2009/9/main" objectType="CheckBox" checked="Checked" fmlaLink="Sheet2!$F$5" lockText="1" noThreeD="1"/>
</file>

<file path=xl/ctrlProps/ctrlProp6.xml><?xml version="1.0" encoding="utf-8"?>
<formControlPr xmlns="http://schemas.microsoft.com/office/spreadsheetml/2009/9/main" objectType="Radio" checked="Checked" firstButton="1" fmlaLink="Sheet2!$F$7" lockText="1" noThreeD="1"/>
</file>

<file path=xl/ctrlProps/ctrlProp7.xml><?xml version="1.0" encoding="utf-8"?>
<formControlPr xmlns="http://schemas.microsoft.com/office/spreadsheetml/2009/9/main" objectType="Radio" lockText="1" noThreeD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7620</xdr:rowOff>
        </xdr:from>
        <xdr:to>
          <xdr:col>8</xdr:col>
          <xdr:colOff>472440</xdr:colOff>
          <xdr:row>7</xdr:row>
          <xdr:rowOff>7620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</xdr:row>
          <xdr:rowOff>160020</xdr:rowOff>
        </xdr:from>
        <xdr:to>
          <xdr:col>7</xdr:col>
          <xdr:colOff>563880</xdr:colOff>
          <xdr:row>9</xdr:row>
          <xdr:rowOff>30480</xdr:rowOff>
        </xdr:to>
        <xdr:sp macro="" textlink="">
          <xdr:nvSpPr>
            <xdr:cNvPr id="1026" name="Spinner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11</xdr:row>
          <xdr:rowOff>7620</xdr:rowOff>
        </xdr:from>
        <xdr:to>
          <xdr:col>8</xdr:col>
          <xdr:colOff>472440</xdr:colOff>
          <xdr:row>12</xdr:row>
          <xdr:rowOff>7620</xdr:rowOff>
        </xdr:to>
        <xdr:sp macro="" textlink="">
          <xdr:nvSpPr>
            <xdr:cNvPr id="1030" name="Drop Dow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12</xdr:row>
          <xdr:rowOff>152400</xdr:rowOff>
        </xdr:from>
        <xdr:to>
          <xdr:col>7</xdr:col>
          <xdr:colOff>563880</xdr:colOff>
          <xdr:row>14</xdr:row>
          <xdr:rowOff>22860</xdr:rowOff>
        </xdr:to>
        <xdr:sp macro="" textlink="">
          <xdr:nvSpPr>
            <xdr:cNvPr id="1033" name="Spinner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259080</xdr:colOff>
          <xdr:row>16</xdr:row>
          <xdr:rowOff>121920</xdr:rowOff>
        </xdr:from>
        <xdr:to>
          <xdr:col>6</xdr:col>
          <xdr:colOff>30480</xdr:colOff>
          <xdr:row>18</xdr:row>
          <xdr:rowOff>76200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Promo code?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</xdr:colOff>
          <xdr:row>18</xdr:row>
          <xdr:rowOff>7620</xdr:rowOff>
        </xdr:from>
        <xdr:to>
          <xdr:col>8</xdr:col>
          <xdr:colOff>601980</xdr:colOff>
          <xdr:row>20</xdr:row>
          <xdr:rowOff>0</xdr:rowOff>
        </xdr:to>
        <xdr:sp macro="" textlink="">
          <xdr:nvSpPr>
            <xdr:cNvPr id="1036" name="TextBox1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213360</xdr:colOff>
          <xdr:row>20</xdr:row>
          <xdr:rowOff>160020</xdr:rowOff>
        </xdr:from>
        <xdr:to>
          <xdr:col>6</xdr:col>
          <xdr:colOff>121920</xdr:colOff>
          <xdr:row>22</xdr:row>
          <xdr:rowOff>38100</xdr:rowOff>
        </xdr:to>
        <xdr:sp macro="" textlink="">
          <xdr:nvSpPr>
            <xdr:cNvPr id="1037" name="Option 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Cash on deliviry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106680</xdr:colOff>
          <xdr:row>20</xdr:row>
          <xdr:rowOff>167640</xdr:rowOff>
        </xdr:from>
        <xdr:to>
          <xdr:col>9</xdr:col>
          <xdr:colOff>15240</xdr:colOff>
          <xdr:row>22</xdr:row>
          <xdr:rowOff>45720</xdr:rowOff>
        </xdr:to>
        <xdr:sp macro="" textlink="">
          <xdr:nvSpPr>
            <xdr:cNvPr id="1039" name="Option 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Credit card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0127A0A-4816-4954-A0AF-31656A944278}" name="Table1" displayName="Table1" ref="A2:B12" totalsRowShown="0">
  <autoFilter ref="A2:B12" xr:uid="{50127A0A-4816-4954-A0AF-31656A944278}">
    <filterColumn colId="0" hiddenButton="1"/>
    <filterColumn colId="1" hiddenButton="1"/>
  </autoFilter>
  <tableColumns count="2">
    <tableColumn id="1" xr3:uid="{2B0DECC7-7CD8-4066-86BF-9C9777600055}" name="Fast food"/>
    <tableColumn id="2" xr3:uid="{D37EBF9F-11C8-478A-B7C5-AB1151D2B3E2}" name="Price" dataCellStyle="Currency"/>
  </tableColumns>
  <tableStyleInfo name="TableStyleMedium5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94F68FA-2D7F-4C99-B0C9-D3D2E76BC3B9}" name="Table2" displayName="Table2" ref="A15:B29" totalsRowShown="0">
  <autoFilter ref="A15:B29" xr:uid="{594F68FA-2D7F-4C99-B0C9-D3D2E76BC3B9}">
    <filterColumn colId="0" hiddenButton="1"/>
    <filterColumn colId="1" hiddenButton="1"/>
  </autoFilter>
  <tableColumns count="2">
    <tableColumn id="1" xr3:uid="{B5AD6640-6B49-437C-8E5D-D9FD407678DE}" name="Drinks"/>
    <tableColumn id="2" xr3:uid="{7DA82FCA-D354-4283-A704-DD52E9132E6E}" name="Price" dataCellStyle="Currency"/>
  </tableColumns>
  <tableStyleInfo name="TableStyleMedium5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C6CF410-F8A2-4866-A5D7-6164D2D42509}" name="Table3" displayName="Table3" ref="E3:F7" headerRowCount="0" totalsRowShown="0">
  <tableColumns count="2">
    <tableColumn id="1" xr3:uid="{97CE13F0-8E2F-443F-B1C0-AB07CFF4DD56}" name="Controles"/>
    <tableColumn id="2" xr3:uid="{BE5A382E-C059-4F58-BF81-3749BC824BFF}" name="Column1"/>
  </tableColumns>
  <tableStyleInfo name="TableStyleMedium5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9F3DBAD-F496-43D4-8D81-47784D9A2C40}" name="Table4" displayName="Table4" ref="H2:H6" totalsRowShown="0">
  <autoFilter ref="H2:H6" xr:uid="{C9F3DBAD-F496-43D4-8D81-47784D9A2C40}">
    <filterColumn colId="0" hiddenButton="1"/>
  </autoFilter>
  <tableColumns count="1">
    <tableColumn id="1" xr3:uid="{453FE83B-CA87-47DD-B96C-E1AE33519F55}" name="Promo codes"/>
  </tableColumns>
  <tableStyleInfo name="TableStyleMedium5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07873-1AA2-4689-B416-707DECC98051}">
  <sheetPr codeName="Sheet1"/>
  <dimension ref="D1:T23"/>
  <sheetViews>
    <sheetView tabSelected="1" workbookViewId="0">
      <selection activeCell="E15" sqref="E15"/>
    </sheetView>
  </sheetViews>
  <sheetFormatPr defaultRowHeight="13.8" x14ac:dyDescent="0.25"/>
  <sheetData>
    <row r="1" spans="4:20" x14ac:dyDescent="0.25">
      <c r="D1" s="29" t="s">
        <v>0</v>
      </c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</row>
    <row r="2" spans="4:20" x14ac:dyDescent="0.25"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</row>
    <row r="6" spans="4:20" x14ac:dyDescent="0.25">
      <c r="L6" s="32" t="s">
        <v>4</v>
      </c>
      <c r="M6" s="33"/>
      <c r="N6" s="33"/>
      <c r="O6" s="33"/>
      <c r="P6" s="33"/>
      <c r="Q6" s="33"/>
      <c r="R6" s="33"/>
      <c r="S6" s="34"/>
    </row>
    <row r="7" spans="4:20" ht="14.4" x14ac:dyDescent="0.25">
      <c r="F7" s="14" t="s">
        <v>11</v>
      </c>
      <c r="L7" s="35"/>
      <c r="M7" s="36"/>
      <c r="N7" s="36"/>
      <c r="O7" s="36"/>
      <c r="P7" s="36"/>
      <c r="Q7" s="36"/>
      <c r="R7" s="36"/>
      <c r="S7" s="37"/>
    </row>
    <row r="8" spans="4:20" x14ac:dyDescent="0.25">
      <c r="E8" s="2"/>
      <c r="F8" s="2"/>
      <c r="L8" s="38"/>
      <c r="M8" s="39"/>
      <c r="N8" s="39"/>
      <c r="O8" s="39"/>
      <c r="P8" s="39"/>
      <c r="Q8" s="39"/>
      <c r="R8" s="39"/>
      <c r="S8" s="40"/>
    </row>
    <row r="9" spans="4:20" ht="14.4" x14ac:dyDescent="0.3">
      <c r="F9" s="15" t="s">
        <v>1</v>
      </c>
      <c r="G9" s="1">
        <v>5</v>
      </c>
      <c r="L9" s="4"/>
      <c r="M9" s="5"/>
      <c r="N9" s="5"/>
      <c r="O9" s="5"/>
      <c r="P9" s="5"/>
      <c r="Q9" s="5"/>
      <c r="R9" s="9"/>
      <c r="S9" s="10"/>
    </row>
    <row r="10" spans="4:20" x14ac:dyDescent="0.25">
      <c r="L10" s="4"/>
      <c r="M10" s="5"/>
      <c r="N10" s="5"/>
      <c r="O10" s="5"/>
      <c r="P10" s="5"/>
      <c r="Q10" s="5"/>
      <c r="R10" s="4"/>
      <c r="S10" s="6"/>
    </row>
    <row r="11" spans="4:20" x14ac:dyDescent="0.25">
      <c r="L11" s="19" t="s">
        <v>11</v>
      </c>
      <c r="M11" s="17"/>
      <c r="N11" s="17"/>
      <c r="O11" s="17"/>
      <c r="P11" s="17"/>
      <c r="Q11" s="18"/>
      <c r="R11" s="62">
        <f>CHOOSE(Sheet2!F3,Sheet2!B3,Sheet2!B4,Sheet2!B5,Sheet2!B6,Sheet2!B7,Sheet2!B8,Sheet2!B9,Sheet2!B10,Table1[[#This Row],[Price]],Sheet2!B12)</f>
        <v>30</v>
      </c>
      <c r="S11" s="63"/>
    </row>
    <row r="12" spans="4:20" ht="14.4" x14ac:dyDescent="0.3">
      <c r="F12" s="15" t="s">
        <v>12</v>
      </c>
      <c r="L12" s="28" t="s">
        <v>1</v>
      </c>
      <c r="M12" s="25"/>
      <c r="N12" s="25"/>
      <c r="O12" s="25"/>
      <c r="P12" s="25"/>
      <c r="Q12" s="27"/>
      <c r="R12" s="58">
        <f>CHOOSE(G9,G9,G9,G9,G9,G9,G9,G9,G9,G9,G9)</f>
        <v>5</v>
      </c>
      <c r="S12" s="59"/>
    </row>
    <row r="13" spans="4:20" x14ac:dyDescent="0.25">
      <c r="L13" s="12"/>
      <c r="M13" s="13"/>
      <c r="N13" s="5"/>
      <c r="O13" s="5"/>
      <c r="P13" s="5"/>
      <c r="Q13" s="5"/>
      <c r="R13" s="4"/>
      <c r="S13" s="6"/>
    </row>
    <row r="14" spans="4:20" ht="14.4" x14ac:dyDescent="0.3">
      <c r="F14" s="15" t="s">
        <v>1</v>
      </c>
      <c r="G14" s="1">
        <v>3</v>
      </c>
      <c r="L14" s="22" t="s">
        <v>12</v>
      </c>
      <c r="M14" s="20"/>
      <c r="N14" s="20"/>
      <c r="O14" s="20"/>
      <c r="P14" s="20"/>
      <c r="Q14" s="21"/>
      <c r="R14" s="60">
        <f>CHOOSE(Sheet2!F4,Sheet2!B16,Sheet2!B17,Sheet2!B18,Sheet2!B19,Sheet2!B20,Sheet2!B21,Sheet2!B22,Sheet2!B23,Sheet2!B24,Sheet2!B25,Sheet2!B26,Sheet2!B27,Sheet2!B28,Sheet2!B29)</f>
        <v>25</v>
      </c>
      <c r="S14" s="61"/>
    </row>
    <row r="15" spans="4:20" ht="14.4" x14ac:dyDescent="0.3">
      <c r="F15" s="16"/>
      <c r="L15" s="28" t="s">
        <v>1</v>
      </c>
      <c r="M15" s="25"/>
      <c r="N15" s="25"/>
      <c r="O15" s="25"/>
      <c r="P15" s="25"/>
      <c r="Q15" s="27"/>
      <c r="R15" s="58">
        <f>CHOOSE(G14,G14,G14,G14,G14,G14,G14,G14,G14,G14,G14)</f>
        <v>3</v>
      </c>
      <c r="S15" s="59"/>
    </row>
    <row r="16" spans="4:20" x14ac:dyDescent="0.25">
      <c r="L16" s="4"/>
      <c r="M16" s="26"/>
      <c r="N16" s="5"/>
      <c r="O16" s="5"/>
      <c r="P16" s="5"/>
      <c r="Q16" s="5"/>
      <c r="R16" s="4"/>
      <c r="S16" s="6"/>
    </row>
    <row r="17" spans="5:19" x14ac:dyDescent="0.25">
      <c r="L17" s="64" t="s">
        <v>39</v>
      </c>
      <c r="M17" s="65"/>
      <c r="N17" s="20"/>
      <c r="O17" s="20"/>
      <c r="P17" s="20"/>
      <c r="Q17" s="21"/>
      <c r="R17" s="56">
        <f>IF(Sheet2!F7=2,5,10)</f>
        <v>10</v>
      </c>
      <c r="S17" s="57"/>
    </row>
    <row r="18" spans="5:19" x14ac:dyDescent="0.25">
      <c r="E18" s="2"/>
      <c r="F18" s="2"/>
      <c r="G18" t="s">
        <v>2</v>
      </c>
      <c r="L18" s="4"/>
      <c r="M18" s="5"/>
      <c r="N18" s="5"/>
      <c r="O18" s="5"/>
      <c r="P18" s="5"/>
      <c r="Q18" s="5"/>
      <c r="R18" s="4"/>
      <c r="S18" s="6"/>
    </row>
    <row r="19" spans="5:19" x14ac:dyDescent="0.25">
      <c r="E19" s="31" t="s">
        <v>3</v>
      </c>
      <c r="F19" s="31"/>
      <c r="L19" s="24" t="s">
        <v>40</v>
      </c>
      <c r="M19" s="23"/>
      <c r="N19" s="23"/>
      <c r="O19" s="23"/>
      <c r="P19" s="23"/>
      <c r="Q19" s="23"/>
      <c r="R19" s="42">
        <f>IF(AND(Sheet2!F5=TRUE,Sheet2!F6=Sheet2!H3),0.05,IF(AND(Sheet2!F5=TRUE,Sheet2!F6=Sheet2!H4),0.05,IF(AND(Sheet2!F5=TRUE,Sheet2!F6=Sheet2!H5),0.05,IF(AND(Sheet2!F5=TRUE,Sheet2!F6=Sheet2!H6),0.05,"No discount"))))</f>
        <v>0.05</v>
      </c>
      <c r="S19" s="43"/>
    </row>
    <row r="20" spans="5:19" x14ac:dyDescent="0.25">
      <c r="E20" s="31"/>
      <c r="F20" s="31"/>
      <c r="L20" s="4"/>
      <c r="M20" s="5"/>
      <c r="N20" s="5"/>
      <c r="O20" s="5"/>
      <c r="P20" s="5"/>
      <c r="Q20" s="5"/>
      <c r="R20" s="7"/>
      <c r="S20" s="8"/>
    </row>
    <row r="21" spans="5:19" ht="14.4" customHeight="1" x14ac:dyDescent="0.25">
      <c r="L21" s="50" t="s">
        <v>43</v>
      </c>
      <c r="M21" s="51"/>
      <c r="N21" s="51"/>
      <c r="O21" s="51"/>
      <c r="P21" s="51"/>
      <c r="Q21" s="51"/>
      <c r="R21" s="44">
        <f>IF(R19="No discount",((R11*R12)+(R14*R15)+R17),((R11*R12)+(R14*R15)-(((R11*R12)+(R14*R15))*R19))+R17)</f>
        <v>223.75</v>
      </c>
      <c r="S21" s="45"/>
    </row>
    <row r="22" spans="5:19" x14ac:dyDescent="0.25">
      <c r="L22" s="52"/>
      <c r="M22" s="53"/>
      <c r="N22" s="53"/>
      <c r="O22" s="53"/>
      <c r="P22" s="53"/>
      <c r="Q22" s="53"/>
      <c r="R22" s="46"/>
      <c r="S22" s="47"/>
    </row>
    <row r="23" spans="5:19" x14ac:dyDescent="0.25">
      <c r="H23" s="41" t="s">
        <v>41</v>
      </c>
      <c r="I23" s="41"/>
      <c r="J23" s="41"/>
      <c r="L23" s="54"/>
      <c r="M23" s="55"/>
      <c r="N23" s="55"/>
      <c r="O23" s="55"/>
      <c r="P23" s="55"/>
      <c r="Q23" s="55"/>
      <c r="R23" s="48"/>
      <c r="S23" s="49"/>
    </row>
  </sheetData>
  <mergeCells count="13">
    <mergeCell ref="D1:T2"/>
    <mergeCell ref="E19:F20"/>
    <mergeCell ref="L6:S8"/>
    <mergeCell ref="H23:J23"/>
    <mergeCell ref="R19:S19"/>
    <mergeCell ref="R21:S23"/>
    <mergeCell ref="L21:Q23"/>
    <mergeCell ref="R17:S17"/>
    <mergeCell ref="R15:S15"/>
    <mergeCell ref="R14:S14"/>
    <mergeCell ref="R12:S12"/>
    <mergeCell ref="R11:S11"/>
    <mergeCell ref="L17:M17"/>
  </mergeCells>
  <conditionalFormatting sqref="L16:S16 N13:S13 L18:S18 L17 R17 L20:S20 L19 L11:L15 R19 R14:R15 R11:R12">
    <cfRule type="colorScale" priority="1">
      <colorScale>
        <cfvo type="num" val="0"/>
        <cfvo type="num" val="1000"/>
        <color theme="7" tint="0.79998168889431442"/>
        <color theme="5"/>
      </colorScale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6" r:id="rId4" name="TextBox1">
          <controlPr defaultSize="0" autoLine="0" r:id="rId5">
            <anchor moveWithCells="1">
              <from>
                <xdr:col>6</xdr:col>
                <xdr:colOff>7620</xdr:colOff>
                <xdr:row>18</xdr:row>
                <xdr:rowOff>7620</xdr:rowOff>
              </from>
              <to>
                <xdr:col>8</xdr:col>
                <xdr:colOff>601980</xdr:colOff>
                <xdr:row>19</xdr:row>
                <xdr:rowOff>175260</xdr:rowOff>
              </to>
            </anchor>
          </controlPr>
        </control>
      </mc:Choice>
      <mc:Fallback>
        <control shapeId="1036" r:id="rId4" name="TextBox1"/>
      </mc:Fallback>
    </mc:AlternateContent>
    <mc:AlternateContent xmlns:mc="http://schemas.openxmlformats.org/markup-compatibility/2006">
      <mc:Choice Requires="x14">
        <control shapeId="1025" r:id="rId6" name="Drop Down 1">
          <controlPr defaultSize="0" autoLine="0" autoPict="0">
            <anchor moveWithCells="1">
              <from>
                <xdr:col>6</xdr:col>
                <xdr:colOff>0</xdr:colOff>
                <xdr:row>6</xdr:row>
                <xdr:rowOff>7620</xdr:rowOff>
              </from>
              <to>
                <xdr:col>8</xdr:col>
                <xdr:colOff>472440</xdr:colOff>
                <xdr:row>7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7" name="Spinner 2">
          <controlPr defaultSize="0" autoPict="0">
            <anchor moveWithCells="1" sizeWithCells="1">
              <from>
                <xdr:col>7</xdr:col>
                <xdr:colOff>0</xdr:colOff>
                <xdr:row>7</xdr:row>
                <xdr:rowOff>160020</xdr:rowOff>
              </from>
              <to>
                <xdr:col>7</xdr:col>
                <xdr:colOff>563880</xdr:colOff>
                <xdr:row>9</xdr:row>
                <xdr:rowOff>30480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8" name="Drop Down 6">
          <controlPr defaultSize="0" autoLine="0" autoPict="0">
            <anchor moveWithCells="1">
              <from>
                <xdr:col>6</xdr:col>
                <xdr:colOff>0</xdr:colOff>
                <xdr:row>11</xdr:row>
                <xdr:rowOff>7620</xdr:rowOff>
              </from>
              <to>
                <xdr:col>8</xdr:col>
                <xdr:colOff>472440</xdr:colOff>
                <xdr:row>12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9" name="Spinner 9">
          <controlPr defaultSize="0" autoPict="0">
            <anchor moveWithCells="1" sizeWithCells="1">
              <from>
                <xdr:col>7</xdr:col>
                <xdr:colOff>0</xdr:colOff>
                <xdr:row>12</xdr:row>
                <xdr:rowOff>152400</xdr:rowOff>
              </from>
              <to>
                <xdr:col>7</xdr:col>
                <xdr:colOff>563880</xdr:colOff>
                <xdr:row>14</xdr:row>
                <xdr:rowOff>22860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0" name="Check Box 10">
          <controlPr defaultSize="0" autoFill="0" autoLine="0" autoPict="0">
            <anchor moveWithCells="1">
              <from>
                <xdr:col>4</xdr:col>
                <xdr:colOff>259080</xdr:colOff>
                <xdr:row>16</xdr:row>
                <xdr:rowOff>121920</xdr:rowOff>
              </from>
              <to>
                <xdr:col>6</xdr:col>
                <xdr:colOff>30480</xdr:colOff>
                <xdr:row>18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7" r:id="rId11" name="Option Button 13">
          <controlPr defaultSize="0" autoFill="0" autoLine="0" autoPict="0">
            <anchor moveWithCells="1">
              <from>
                <xdr:col>4</xdr:col>
                <xdr:colOff>213360</xdr:colOff>
                <xdr:row>20</xdr:row>
                <xdr:rowOff>160020</xdr:rowOff>
              </from>
              <to>
                <xdr:col>6</xdr:col>
                <xdr:colOff>121920</xdr:colOff>
                <xdr:row>22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12" name="Option Button 15">
          <controlPr defaultSize="0" autoFill="0" autoLine="0" autoPict="0">
            <anchor moveWithCells="1">
              <from>
                <xdr:col>7</xdr:col>
                <xdr:colOff>106680</xdr:colOff>
                <xdr:row>20</xdr:row>
                <xdr:rowOff>167640</xdr:rowOff>
              </from>
              <to>
                <xdr:col>9</xdr:col>
                <xdr:colOff>15240</xdr:colOff>
                <xdr:row>22</xdr:row>
                <xdr:rowOff>45720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FE1429-4B4A-4700-AFB9-FB1F085FF2E8}">
  <sheetPr codeName="Sheet2"/>
  <dimension ref="A2:H30"/>
  <sheetViews>
    <sheetView workbookViewId="0">
      <selection activeCell="H9" sqref="H9"/>
    </sheetView>
  </sheetViews>
  <sheetFormatPr defaultRowHeight="13.8" x14ac:dyDescent="0.25"/>
  <cols>
    <col min="1" max="1" width="18.59765625" customWidth="1"/>
    <col min="2" max="3" width="10.3984375" customWidth="1"/>
    <col min="5" max="5" width="14.09765625" customWidth="1"/>
    <col min="6" max="6" width="10.3984375" customWidth="1"/>
    <col min="8" max="8" width="11.69921875" customWidth="1"/>
    <col min="9" max="9" width="11.796875" customWidth="1"/>
  </cols>
  <sheetData>
    <row r="2" spans="1:8" x14ac:dyDescent="0.25">
      <c r="A2" t="s">
        <v>11</v>
      </c>
      <c r="B2" s="3" t="s">
        <v>5</v>
      </c>
      <c r="E2" s="66" t="s">
        <v>32</v>
      </c>
      <c r="F2" s="67"/>
      <c r="H2" t="s">
        <v>35</v>
      </c>
    </row>
    <row r="3" spans="1:8" x14ac:dyDescent="0.25">
      <c r="A3" t="s">
        <v>6</v>
      </c>
      <c r="B3" s="11">
        <v>15</v>
      </c>
      <c r="E3" t="s">
        <v>11</v>
      </c>
      <c r="F3" s="1">
        <v>6</v>
      </c>
      <c r="H3" t="s">
        <v>36</v>
      </c>
    </row>
    <row r="4" spans="1:8" x14ac:dyDescent="0.25">
      <c r="A4" t="s">
        <v>7</v>
      </c>
      <c r="B4" s="11">
        <v>15</v>
      </c>
      <c r="E4" t="s">
        <v>12</v>
      </c>
      <c r="F4" s="1">
        <v>11</v>
      </c>
      <c r="H4" t="s">
        <v>37</v>
      </c>
    </row>
    <row r="5" spans="1:8" x14ac:dyDescent="0.25">
      <c r="A5" t="s">
        <v>8</v>
      </c>
      <c r="B5" s="11">
        <v>15</v>
      </c>
      <c r="E5" t="s">
        <v>33</v>
      </c>
      <c r="F5" t="b">
        <v>1</v>
      </c>
      <c r="H5" t="s">
        <v>38</v>
      </c>
    </row>
    <row r="6" spans="1:8" x14ac:dyDescent="0.25">
      <c r="A6" t="s">
        <v>9</v>
      </c>
      <c r="B6" s="11">
        <v>10</v>
      </c>
      <c r="E6" t="s">
        <v>34</v>
      </c>
      <c r="F6" s="1" t="s">
        <v>36</v>
      </c>
      <c r="H6" t="s">
        <v>44</v>
      </c>
    </row>
    <row r="7" spans="1:8" x14ac:dyDescent="0.25">
      <c r="A7" t="s">
        <v>10</v>
      </c>
      <c r="B7" s="11">
        <v>10</v>
      </c>
      <c r="E7" t="s">
        <v>42</v>
      </c>
      <c r="F7" s="1">
        <v>1</v>
      </c>
    </row>
    <row r="8" spans="1:8" x14ac:dyDescent="0.25">
      <c r="A8" t="s">
        <v>13</v>
      </c>
      <c r="B8" s="11">
        <v>30</v>
      </c>
    </row>
    <row r="9" spans="1:8" x14ac:dyDescent="0.25">
      <c r="A9" t="s">
        <v>14</v>
      </c>
      <c r="B9" s="11">
        <v>35</v>
      </c>
    </row>
    <row r="10" spans="1:8" x14ac:dyDescent="0.25">
      <c r="A10" t="s">
        <v>15</v>
      </c>
      <c r="B10" s="11">
        <v>25</v>
      </c>
    </row>
    <row r="11" spans="1:8" x14ac:dyDescent="0.25">
      <c r="A11" t="s">
        <v>16</v>
      </c>
      <c r="B11" s="11">
        <v>20</v>
      </c>
    </row>
    <row r="12" spans="1:8" x14ac:dyDescent="0.25">
      <c r="A12" t="s">
        <v>17</v>
      </c>
      <c r="B12" s="11">
        <v>20</v>
      </c>
    </row>
    <row r="15" spans="1:8" x14ac:dyDescent="0.25">
      <c r="A15" t="s">
        <v>12</v>
      </c>
      <c r="B15" s="3" t="s">
        <v>5</v>
      </c>
    </row>
    <row r="16" spans="1:8" x14ac:dyDescent="0.25">
      <c r="A16" t="s">
        <v>18</v>
      </c>
      <c r="B16" s="11">
        <v>30</v>
      </c>
    </row>
    <row r="17" spans="1:2" x14ac:dyDescent="0.25">
      <c r="A17" t="s">
        <v>19</v>
      </c>
      <c r="B17" s="11">
        <v>30</v>
      </c>
    </row>
    <row r="18" spans="1:2" x14ac:dyDescent="0.25">
      <c r="A18" t="s">
        <v>20</v>
      </c>
      <c r="B18" s="11">
        <v>25</v>
      </c>
    </row>
    <row r="19" spans="1:2" x14ac:dyDescent="0.25">
      <c r="A19" t="s">
        <v>21</v>
      </c>
      <c r="B19" s="11">
        <v>40</v>
      </c>
    </row>
    <row r="20" spans="1:2" x14ac:dyDescent="0.25">
      <c r="A20" t="s">
        <v>22</v>
      </c>
      <c r="B20" s="11">
        <v>35</v>
      </c>
    </row>
    <row r="21" spans="1:2" x14ac:dyDescent="0.25">
      <c r="A21" t="s">
        <v>23</v>
      </c>
      <c r="B21" s="11">
        <v>30</v>
      </c>
    </row>
    <row r="22" spans="1:2" x14ac:dyDescent="0.25">
      <c r="A22" t="s">
        <v>24</v>
      </c>
      <c r="B22" s="11">
        <v>30</v>
      </c>
    </row>
    <row r="23" spans="1:2" x14ac:dyDescent="0.25">
      <c r="A23" t="s">
        <v>25</v>
      </c>
      <c r="B23" s="11">
        <v>10</v>
      </c>
    </row>
    <row r="24" spans="1:2" x14ac:dyDescent="0.25">
      <c r="A24" t="s">
        <v>26</v>
      </c>
      <c r="B24" s="11">
        <v>15</v>
      </c>
    </row>
    <row r="25" spans="1:2" x14ac:dyDescent="0.25">
      <c r="A25" t="s">
        <v>27</v>
      </c>
      <c r="B25" s="11">
        <v>20</v>
      </c>
    </row>
    <row r="26" spans="1:2" x14ac:dyDescent="0.25">
      <c r="A26" t="s">
        <v>28</v>
      </c>
      <c r="B26" s="11">
        <v>25</v>
      </c>
    </row>
    <row r="27" spans="1:2" x14ac:dyDescent="0.25">
      <c r="A27" t="s">
        <v>29</v>
      </c>
      <c r="B27" s="11">
        <v>25</v>
      </c>
    </row>
    <row r="28" spans="1:2" x14ac:dyDescent="0.25">
      <c r="A28" t="s">
        <v>30</v>
      </c>
      <c r="B28" s="11">
        <v>25</v>
      </c>
    </row>
    <row r="29" spans="1:2" x14ac:dyDescent="0.25">
      <c r="A29" t="s">
        <v>31</v>
      </c>
      <c r="B29" s="11">
        <v>25</v>
      </c>
    </row>
    <row r="30" spans="1:2" x14ac:dyDescent="0.25">
      <c r="B30" s="11"/>
    </row>
  </sheetData>
  <mergeCells count="1">
    <mergeCell ref="E2:F2"/>
  </mergeCells>
  <conditionalFormatting sqref="B16:B29">
    <cfRule type="colorScale" priority="2">
      <colorScale>
        <cfvo type="num" val="0"/>
        <cfvo type="num" val="250"/>
        <color theme="7" tint="0.79998168889431442"/>
        <color rgb="FFFF0000"/>
      </colorScale>
    </cfRule>
  </conditionalFormatting>
  <conditionalFormatting sqref="B3:B12">
    <cfRule type="colorScale" priority="1">
      <colorScale>
        <cfvo type="num" val="0"/>
        <cfvo type="num" val="250"/>
        <color theme="7" tint="0.79998168889431442"/>
        <color rgb="FFFF0000"/>
      </colorScale>
    </cfRule>
  </conditionalFormatting>
  <dataValidations count="1">
    <dataValidation type="whole" operator="lessThan" allowBlank="1" showInputMessage="1" showErrorMessage="1" sqref="B3:B12 B16:B29" xr:uid="{E7BD70D9-55EC-4D03-9D5F-D532D3EF2BC7}">
      <formula1>1000</formula1>
    </dataValidation>
  </dataValidations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ALSABA</dc:creator>
  <cp:lastModifiedBy>Loai Wael</cp:lastModifiedBy>
  <dcterms:created xsi:type="dcterms:W3CDTF">2024-03-13T11:52:08Z</dcterms:created>
  <dcterms:modified xsi:type="dcterms:W3CDTF">2024-10-11T21:43:15Z</dcterms:modified>
</cp:coreProperties>
</file>